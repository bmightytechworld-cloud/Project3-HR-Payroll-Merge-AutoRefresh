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F6E0C2C-C79B-4111-B457-6B87197884CD}" xr6:coauthVersionLast="47" xr6:coauthVersionMax="47" xr10:uidLastSave="{00000000-0000-0000-0000-000000000000}"/>
  <bookViews>
    <workbookView xWindow="-120" yWindow="-120" windowWidth="20730" windowHeight="11160" firstSheet="4" activeTab="6" xr2:uid="{303A3FA0-EBCE-4DE5-80F6-18C70A271CE2}"/>
  </bookViews>
  <sheets>
    <sheet name="Cleaned Employee Info" sheetId="3" r:id="rId1"/>
    <sheet name="Final Combined Table After Merg" sheetId="4" r:id="rId2"/>
    <sheet name="Raw Employee Info" sheetId="1" r:id="rId3"/>
    <sheet name="Raw Payroll Data" sheetId="2" r:id="rId4"/>
    <sheet name="Pay_Roll Data source" sheetId="6" r:id="rId5"/>
    <sheet name="Input Sheet" sheetId="5" r:id="rId6"/>
    <sheet name="Summary" sheetId="7" r:id="rId7"/>
  </sheets>
  <definedNames>
    <definedName name="ExternalData_1" localSheetId="0" hidden="1">'Cleaned Employee Info'!$A$1:$E$8</definedName>
    <definedName name="ExternalData_1" localSheetId="1" hidden="1">'Final Combined Table After Merg'!$A$1:$J$7</definedName>
    <definedName name="ExternalData_1" localSheetId="4" hidden="1">'Pay_Roll Data source'!$A$1:$F$100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7" l="1"/>
  <c r="B4" i="7"/>
  <c r="B3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B49D96-4B06-43CE-B525-03FE44859B6D}" keepAlive="1" name="Query - Cleaned Employee Info" description="Connection to the 'Cleaned Employee Info' query in the workbook." type="5" refreshedVersion="8" background="1" saveData="1">
    <dbPr connection="Provider=Microsoft.Mashup.OleDb.1;Data Source=$Workbook$;Location=&quot;Cleaned Employee Info&quot;;Extended Properties=&quot;&quot;" command="SELECT * FROM [Cleaned Employee Info]"/>
  </connection>
  <connection id="2" xr16:uid="{6653B481-90AC-4299-8294-A2E7BCEA17FE}" keepAlive="1" name="Query - Cleaned Payroll Data" description="Connection to the 'Cleaned Payroll Data' query in the workbook." type="5" refreshedVersion="0" background="1">
    <dbPr connection="Provider=Microsoft.Mashup.OleDb.1;Data Source=$Workbook$;Location=&quot;Cleaned Payroll Data&quot;;Extended Properties=&quot;&quot;" command="SELECT * FROM [Cleaned Payroll Data]"/>
  </connection>
  <connection id="3" xr16:uid="{47AA80AF-DE98-4D88-A009-C012324C3A22}" keepAlive="1" name="Query - Final Combined Table After Merge" description="Connection to the 'Final Combined Table After Merge' query in the workbook." type="5" refreshedVersion="8" background="1" saveData="1">
    <dbPr connection="Provider=Microsoft.Mashup.OleDb.1;Data Source=$Workbook$;Location=&quot;Final Combined Table After Merge&quot;;Extended Properties=&quot;&quot;" command="SELECT * FROM [Final Combined Table After Merge]"/>
  </connection>
  <connection id="4" xr16:uid="{73915684-E6F4-43CB-B991-A0A836BCCBE6}" keepAlive="1" name="Query - Pay_Roll Data source" description="Connection to the 'Pay_Roll Data source' query in the workbook." type="5" refreshedVersion="8" background="1" saveData="1">
    <dbPr connection="Provider=Microsoft.Mashup.OleDb.1;Data Source=$Workbook$;Location=&quot;Pay_Roll Data source&quot;;Extended Properties=&quot;&quot;" command="SELECT * FROM [Pay_Roll Data source]"/>
  </connection>
</connections>
</file>

<file path=xl/sharedStrings.xml><?xml version="1.0" encoding="utf-8"?>
<sst xmlns="http://schemas.openxmlformats.org/spreadsheetml/2006/main" count="150" uniqueCount="52">
  <si>
    <t>Employee ID</t>
  </si>
  <si>
    <t>Full Name</t>
  </si>
  <si>
    <t>Department</t>
  </si>
  <si>
    <t>Location</t>
  </si>
  <si>
    <t>Date Joined</t>
  </si>
  <si>
    <t>EMP001</t>
  </si>
  <si>
    <t>john adeleke</t>
  </si>
  <si>
    <t>sales</t>
  </si>
  <si>
    <t>lagos</t>
  </si>
  <si>
    <t>EMP002</t>
  </si>
  <si>
    <t>FATIMA BELLO</t>
  </si>
  <si>
    <t>HR</t>
  </si>
  <si>
    <t>Abuja</t>
  </si>
  <si>
    <t>EMP003</t>
  </si>
  <si>
    <t>James Okafor</t>
  </si>
  <si>
    <t>LAGOS</t>
  </si>
  <si>
    <t>March 5 2019</t>
  </si>
  <si>
    <t>EMP004</t>
  </si>
  <si>
    <t>Finance</t>
  </si>
  <si>
    <t>Kano</t>
  </si>
  <si>
    <t>EMP005</t>
  </si>
  <si>
    <t>Chioma Eze</t>
  </si>
  <si>
    <t>hr</t>
  </si>
  <si>
    <t>abuja</t>
  </si>
  <si>
    <t>EMP006</t>
  </si>
  <si>
    <t>Aminu Sule</t>
  </si>
  <si>
    <t>FINANCE</t>
  </si>
  <si>
    <t>kano</t>
  </si>
  <si>
    <t>Month</t>
  </si>
  <si>
    <t>Basic Salary</t>
  </si>
  <si>
    <t>Bonus</t>
  </si>
  <si>
    <t>Deductions</t>
  </si>
  <si>
    <t>Net Pay</t>
  </si>
  <si>
    <t>January</t>
  </si>
  <si>
    <t>january</t>
  </si>
  <si>
    <t>John Adeleke</t>
  </si>
  <si>
    <t>Sales</t>
  </si>
  <si>
    <t>Lagos</t>
  </si>
  <si>
    <t>Fatima Bello</t>
  </si>
  <si>
    <t>Hr</t>
  </si>
  <si>
    <t xml:space="preserve">Basic Salary </t>
  </si>
  <si>
    <t>Deduction</t>
  </si>
  <si>
    <t xml:space="preserve"> Net Pay</t>
  </si>
  <si>
    <t>Bmighty</t>
  </si>
  <si>
    <t>Arsenal</t>
  </si>
  <si>
    <t>Checking</t>
  </si>
  <si>
    <t>Total Monthly Payroll</t>
  </si>
  <si>
    <t>Average Salary</t>
  </si>
  <si>
    <t>Total Employees</t>
  </si>
  <si>
    <t>Highest Net Pay</t>
  </si>
  <si>
    <t>Metrics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</si>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</sst>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/>
    <xf numFmtId="14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1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Combined Table After Merg'!$J$1</c:f>
              <c:strCache>
                <c:ptCount val="1"/>
                <c:pt idx="0">
                  <c:v>Net Pay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Combined Table After Merg'!$C$2:$C$7</c:f>
              <c:strCache>
                <c:ptCount val="6"/>
                <c:pt idx="0">
                  <c:v>Sales</c:v>
                </c:pt>
                <c:pt idx="1">
                  <c:v>Hr</c:v>
                </c:pt>
                <c:pt idx="2">
                  <c:v>Sales</c:v>
                </c:pt>
                <c:pt idx="3">
                  <c:v>Finance</c:v>
                </c:pt>
                <c:pt idx="4">
                  <c:v>Hr</c:v>
                </c:pt>
                <c:pt idx="5">
                  <c:v>Finance</c:v>
                </c:pt>
              </c:strCache>
            </c:strRef>
          </c:cat>
          <c:val>
            <c:numRef>
              <c:f>'Final Combined Table After Merg'!$J$2:$J$7</c:f>
              <c:numCache>
                <c:formatCode>General</c:formatCode>
                <c:ptCount val="6"/>
                <c:pt idx="0">
                  <c:v>155000</c:v>
                </c:pt>
                <c:pt idx="1">
                  <c:v>180000</c:v>
                </c:pt>
                <c:pt idx="2">
                  <c:v>190000</c:v>
                </c:pt>
                <c:pt idx="3">
                  <c:v>158000</c:v>
                </c:pt>
                <c:pt idx="4">
                  <c:v>187000</c:v>
                </c:pt>
                <c:pt idx="5">
                  <c:v>175000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2-45D7-BE93-500A0DC0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106111"/>
        <c:axId val="945103231"/>
      </c:barChart>
      <c:catAx>
        <c:axId val="9451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03231"/>
        <c:crosses val="autoZero"/>
        <c:auto val="1"/>
        <c:lblAlgn val="ctr"/>
        <c:lblOffset val="100"/>
        <c:noMultiLvlLbl val="0"/>
      </c:catAx>
      <c:valAx>
        <c:axId val="94510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0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</xdr:row>
      <xdr:rowOff>152400</xdr:rowOff>
    </xdr:from>
    <xdr:to>
      <xdr:col>11</xdr:col>
      <xdr:colOff>219075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83E7C-8645-4A1E-A066-7C79117B9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4B913C-BC32-468B-9E50-374B6AB939AD}" autoFormatId="16" applyNumberFormats="0" applyBorderFormats="0" applyFontFormats="0" applyPatternFormats="0" applyAlignmentFormats="0" applyWidthHeightFormats="0">
  <queryTableRefresh nextId="6">
    <queryTableFields count="5">
      <queryTableField id="1" name="Employee ID" tableColumnId="1"/>
      <queryTableField id="2" name="Full Name" tableColumnId="2"/>
      <queryTableField id="3" name="Department" tableColumnId="3"/>
      <queryTableField id="4" name="Location" tableColumnId="4"/>
      <queryTableField id="5" name="Date Joine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1F9C612-2BE0-42A8-9ED1-F7B950CB4CB2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Full Name" tableColumnId="2"/>
      <queryTableField id="3" name="Department" tableColumnId="3"/>
      <queryTableField id="4" name="Location" tableColumnId="4"/>
      <queryTableField id="5" name="Date Joined" tableColumnId="5"/>
      <queryTableField id="6" name="Month" tableColumnId="6"/>
      <queryTableField id="7" name="Basic Salary" tableColumnId="7"/>
      <queryTableField id="8" name="Bonus" tableColumnId="8"/>
      <queryTableField id="9" name="Deductions" tableColumnId="9"/>
      <queryTableField id="10" name="Net Pay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7FCFD43-0A01-4C46-98F6-AC7392274039}" autoFormatId="16" applyNumberFormats="0" applyBorderFormats="0" applyFontFormats="0" applyPatternFormats="0" applyAlignmentFormats="0" applyWidthHeightFormats="0">
  <queryTableRefresh nextId="8">
    <queryTableFields count="6">
      <queryTableField id="1" name="Employee ID" tableColumnId="1"/>
      <queryTableField id="2" name="Month" tableColumnId="2"/>
      <queryTableField id="3" name="Basic Salary " tableColumnId="3"/>
      <queryTableField id="4" name="Bonus" tableColumnId="4"/>
      <queryTableField id="5" name="Deduction" tableColumnId="5"/>
      <queryTableField id="7" name="Net Pa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ECB15F-5BD0-4312-A7EC-53D56BA406D8}" name="Cleaned_Employee_Info" displayName="Cleaned_Employee_Info" ref="A1:E8" tableType="queryTable" totalsRowShown="0">
  <autoFilter ref="A1:E8" xr:uid="{90ECB15F-5BD0-4312-A7EC-53D56BA406D8}"/>
  <tableColumns count="5">
    <tableColumn id="1" xr3:uid="{809D0390-FFB2-489C-856B-EC5C5C426112}" uniqueName="1" name="Employee ID" queryTableFieldId="1" dataDxfId="13"/>
    <tableColumn id="2" xr3:uid="{0A475741-7B5B-4ECE-9C57-71FB9203647B}" uniqueName="2" name="Full Name" queryTableFieldId="2" dataDxfId="12"/>
    <tableColumn id="3" xr3:uid="{A8D2F633-97B0-4F40-9E75-429B7329BD92}" uniqueName="3" name="Department" queryTableFieldId="3" dataDxfId="11"/>
    <tableColumn id="4" xr3:uid="{23D9929C-72DC-43C6-A1FD-7C49C0FA1741}" uniqueName="4" name="Location" queryTableFieldId="4" dataDxfId="10"/>
    <tableColumn id="5" xr3:uid="{8AB390CD-F952-43E7-89C5-88BC21EE722A}" uniqueName="5" name="Date Joined" queryTableFieldId="5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8F3DA4-2EFA-4750-AA60-C8921B53B953}" name="Final_Combined_Table_After_Merge" displayName="Final_Combined_Table_After_Merge" ref="A1:J7" tableType="queryTable" totalsRowShown="0">
  <autoFilter ref="A1:J7" xr:uid="{1E8F3DA4-2EFA-4750-AA60-C8921B53B953}"/>
  <tableColumns count="10">
    <tableColumn id="1" xr3:uid="{3B005CCB-EFF7-4911-9F78-01E3FFD6A552}" uniqueName="1" name="Employee ID" queryTableFieldId="1" dataDxfId="8"/>
    <tableColumn id="2" xr3:uid="{BE678222-28E5-4E0E-BFD4-A1FA0E2CB9CC}" uniqueName="2" name="Full Name" queryTableFieldId="2" dataDxfId="7"/>
    <tableColumn id="3" xr3:uid="{74E542F3-A247-4E23-94AD-09362452E4E4}" uniqueName="3" name="Department" queryTableFieldId="3" dataDxfId="6"/>
    <tableColumn id="4" xr3:uid="{3DEAFEEE-5A6B-406A-9205-C560E7FF3C78}" uniqueName="4" name="Location" queryTableFieldId="4" dataDxfId="5"/>
    <tableColumn id="5" xr3:uid="{FEB528E9-4DA8-4D10-B107-3FE4105EE9EF}" uniqueName="5" name="Date Joined" queryTableFieldId="5" dataDxfId="4"/>
    <tableColumn id="6" xr3:uid="{6BEB74E4-6333-4B3A-870F-E698226E6092}" uniqueName="6" name="Month" queryTableFieldId="6" dataDxfId="3"/>
    <tableColumn id="7" xr3:uid="{30D098C0-DA86-4A74-A3CF-9C37A202000D}" uniqueName="7" name="Basic Salary" queryTableFieldId="7"/>
    <tableColumn id="8" xr3:uid="{14AEEB65-21D6-4626-AD2F-886B58D1233A}" uniqueName="8" name="Bonus" queryTableFieldId="8"/>
    <tableColumn id="9" xr3:uid="{FB48EA31-1266-483F-ADFB-3FE1079994B4}" uniqueName="9" name="Deductions" queryTableFieldId="9"/>
    <tableColumn id="10" xr3:uid="{C4ED4424-68A0-44AF-BEE9-72D5D8AA0747}" uniqueName="10" name="Net Pay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FECF7-FD94-478C-B7CC-F0FEE3F09131}" name="Table1" displayName="Table1" ref="A1:E8" totalsRowShown="0" headerRowDxfId="22" dataDxfId="23">
  <autoFilter ref="A1:E8" xr:uid="{A7BFECF7-FD94-478C-B7CC-F0FEE3F09131}"/>
  <tableColumns count="5">
    <tableColumn id="1" xr3:uid="{3319F14E-E665-46D5-83E7-9A09A51ABFF5}" name="Employee ID" dataDxfId="28"/>
    <tableColumn id="2" xr3:uid="{131890D6-ED74-4701-A1A1-243843E68B5F}" name="Full Name" dataDxfId="27"/>
    <tableColumn id="3" xr3:uid="{0EE96EB1-5427-40A2-877A-A9CAAA8A1B30}" name="Department" dataDxfId="26"/>
    <tableColumn id="4" xr3:uid="{A6C2C2E9-2992-4D1F-B5EE-B5F7EE7E8D67}" name="Location" dataDxfId="25"/>
    <tableColumn id="5" xr3:uid="{F6DA80E6-4D24-4825-928C-8C664269B001}" name="Date Joined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41DD4E-F852-4C69-885D-7EC14757DF3B}" name="Table2" displayName="Table2" ref="A1:F8" totalsRowShown="0" headerRowDxfId="14" dataDxfId="15">
  <autoFilter ref="A1:F8" xr:uid="{D541DD4E-F852-4C69-885D-7EC14757DF3B}"/>
  <tableColumns count="6">
    <tableColumn id="1" xr3:uid="{1FE86B80-5D8F-4AC3-892C-114223AB231D}" name="Employee ID" dataDxfId="21"/>
    <tableColumn id="2" xr3:uid="{89C97022-8842-41A6-B97A-BDD9E937B396}" name="Month" dataDxfId="20"/>
    <tableColumn id="3" xr3:uid="{4BE3C3A5-12FE-486C-B553-DCD55550E6DE}" name="Basic Salary" dataDxfId="19"/>
    <tableColumn id="4" xr3:uid="{5DCAAE33-A653-465A-92BF-54E51AFABBBD}" name="Bonus" dataDxfId="18"/>
    <tableColumn id="5" xr3:uid="{35EFD775-133E-4734-BA04-3928E16E34F7}" name="Deductions" dataDxfId="17"/>
    <tableColumn id="6" xr3:uid="{4E11A9B5-5B94-4F93-85AD-6052B2049F64}" name="Net Pay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3EDC13-FDBB-43BA-A04E-A27941D3FC37}" name="Pay_Roll_Data_source" displayName="Pay_Roll_Data_source" ref="A1:F100" tableType="queryTable" totalsRowShown="0">
  <autoFilter ref="A1:F100" xr:uid="{A73EDC13-FDBB-43BA-A04E-A27941D3FC37}"/>
  <tableColumns count="6">
    <tableColumn id="1" xr3:uid="{55CEC3FD-CD0C-4779-BFD5-FE61E8A84BB5}" uniqueName="1" name="Employee ID" queryTableFieldId="1" dataDxfId="2"/>
    <tableColumn id="2" xr3:uid="{6E6B3707-9BB4-4D35-9C52-882B9F009FE8}" uniqueName="2" name="Month" queryTableFieldId="2" dataDxfId="1"/>
    <tableColumn id="3" xr3:uid="{6BBFFD1E-9A95-42B8-980A-35C3D8745D37}" uniqueName="3" name="Basic Salary " queryTableFieldId="3"/>
    <tableColumn id="4" xr3:uid="{C71D333B-D599-4338-93D2-119BD88FE013}" uniqueName="4" name="Bonus" queryTableFieldId="4"/>
    <tableColumn id="5" xr3:uid="{59F49021-06A3-44EA-ABC0-35F6CD2BA133}" uniqueName="5" name="Deduction" queryTableFieldId="5"/>
    <tableColumn id="7" xr3:uid="{F4BF5A84-E896-43FF-9EB1-2944D36107DE}" uniqueName="7" name="Net Pay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FA4337-AB70-4EE7-B97E-99F436A5BB50}" name="Payroll_data_" displayName="Payroll_data_" ref="A1:F100" totalsRowShown="0">
  <autoFilter ref="A1:F100" xr:uid="{12FA4337-AB70-4EE7-B97E-99F436A5BB50}"/>
  <tableColumns count="6">
    <tableColumn id="1" xr3:uid="{A2F88EB2-7B24-4586-B912-0BF37E92CEC9}" name="Employee ID"/>
    <tableColumn id="2" xr3:uid="{AD7CA580-97CC-41DE-8646-EE5102C72182}" name="Month"/>
    <tableColumn id="3" xr3:uid="{5995E9C8-670A-491D-91C5-75B0E072256A}" name="Basic Salary "/>
    <tableColumn id="4" xr3:uid="{B7C2ADC5-A7E0-4430-91C1-36346D0E613F}" name="Bonus"/>
    <tableColumn id="5" xr3:uid="{8D4F1450-E1F0-4CA3-9537-FBC0D60FDF5A}" name="Deduction"/>
    <tableColumn id="6" xr3:uid="{5B95553D-067B-4245-933F-21809DCFF91B}" name=" Net Pa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5020B6-D9B7-4082-84CA-1872D44849D3}" name="Table7" displayName="Table7" ref="A1:B5" totalsRowShown="0">
  <autoFilter ref="A1:B5" xr:uid="{375020B6-D9B7-4082-84CA-1872D44849D3}"/>
  <tableColumns count="2">
    <tableColumn id="1" xr3:uid="{0207D1A0-AD99-416C-8324-980073245953}" name="Metrics"/>
    <tableColumn id="2" xr3:uid="{25022162-A8F3-42BE-965F-EB7788297267}" name="Values" dataDxfId="0">
      <calculatedColumnFormula>SUM(Net Pay_Roll_Data_source[])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6D7A-4C7F-443A-B9CE-F533BCAB7BAA}">
  <dimension ref="A1:E8"/>
  <sheetViews>
    <sheetView workbookViewId="0"/>
  </sheetViews>
  <sheetFormatPr defaultRowHeight="15"/>
  <cols>
    <col min="1" max="1" width="14.42578125" bestFit="1" customWidth="1"/>
    <col min="2" max="2" width="13.140625" bestFit="1" customWidth="1"/>
    <col min="3" max="3" width="14" bestFit="1" customWidth="1"/>
    <col min="4" max="4" width="10.7109375" bestFit="1" customWidth="1"/>
    <col min="5" max="5" width="13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 t="s">
        <v>5</v>
      </c>
      <c r="B2" s="4" t="s">
        <v>35</v>
      </c>
      <c r="C2" s="4" t="s">
        <v>36</v>
      </c>
      <c r="D2" s="4" t="s">
        <v>37</v>
      </c>
      <c r="E2" s="5">
        <v>43891</v>
      </c>
    </row>
    <row r="3" spans="1:5">
      <c r="A3" s="4" t="s">
        <v>9</v>
      </c>
      <c r="B3" s="4" t="s">
        <v>38</v>
      </c>
      <c r="C3" s="4" t="s">
        <v>39</v>
      </c>
      <c r="D3" s="4" t="s">
        <v>12</v>
      </c>
      <c r="E3" s="5">
        <v>44362</v>
      </c>
    </row>
    <row r="4" spans="1:5">
      <c r="A4" s="4" t="s">
        <v>13</v>
      </c>
      <c r="B4" s="4" t="s">
        <v>14</v>
      </c>
      <c r="C4" s="4" t="s">
        <v>36</v>
      </c>
      <c r="D4" s="4" t="s">
        <v>37</v>
      </c>
      <c r="E4" s="5">
        <v>43529</v>
      </c>
    </row>
    <row r="5" spans="1:5">
      <c r="A5" s="4" t="s">
        <v>17</v>
      </c>
      <c r="B5" s="4" t="s">
        <v>14</v>
      </c>
      <c r="C5" s="4" t="s">
        <v>18</v>
      </c>
      <c r="D5" s="4" t="s">
        <v>19</v>
      </c>
      <c r="E5" s="5">
        <v>43285</v>
      </c>
    </row>
    <row r="6" spans="1:5">
      <c r="A6" s="4" t="s">
        <v>20</v>
      </c>
      <c r="B6" s="4" t="s">
        <v>21</v>
      </c>
      <c r="C6" s="4" t="s">
        <v>39</v>
      </c>
      <c r="D6" s="4" t="s">
        <v>12</v>
      </c>
      <c r="E6" s="5">
        <v>44075</v>
      </c>
    </row>
    <row r="7" spans="1:5">
      <c r="A7" s="4" t="s">
        <v>24</v>
      </c>
      <c r="B7" s="4" t="s">
        <v>25</v>
      </c>
      <c r="C7" s="4" t="s">
        <v>18</v>
      </c>
      <c r="D7" s="4" t="s">
        <v>19</v>
      </c>
      <c r="E7" s="5">
        <v>43045</v>
      </c>
    </row>
    <row r="8" spans="1:5">
      <c r="A8" s="4" t="s">
        <v>5</v>
      </c>
      <c r="B8" s="4" t="s">
        <v>35</v>
      </c>
      <c r="C8" s="4" t="s">
        <v>36</v>
      </c>
      <c r="D8" s="4" t="s">
        <v>37</v>
      </c>
      <c r="E8" s="5">
        <v>43891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E45F-8C4C-4494-ADED-22BC7C6B1701}">
  <dimension ref="A1:J7"/>
  <sheetViews>
    <sheetView workbookViewId="0">
      <selection activeCell="C11" sqref="C11"/>
    </sheetView>
  </sheetViews>
  <sheetFormatPr defaultRowHeight="15"/>
  <cols>
    <col min="1" max="1" width="14.42578125" bestFit="1" customWidth="1"/>
    <col min="2" max="2" width="13.140625" bestFit="1" customWidth="1"/>
    <col min="3" max="3" width="14" bestFit="1" customWidth="1"/>
    <col min="4" max="4" width="10.7109375" bestFit="1" customWidth="1"/>
    <col min="5" max="5" width="13.7109375" bestFit="1" customWidth="1"/>
    <col min="6" max="6" width="9.28515625" bestFit="1" customWidth="1"/>
    <col min="7" max="7" width="13.42578125" bestFit="1" customWidth="1"/>
    <col min="8" max="8" width="8.7109375" bestFit="1" customWidth="1"/>
    <col min="9" max="9" width="13.28515625" bestFit="1" customWidth="1"/>
    <col min="10" max="10" width="10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>
      <c r="A2" s="4" t="s">
        <v>5</v>
      </c>
      <c r="B2" s="4" t="s">
        <v>35</v>
      </c>
      <c r="C2" s="4" t="s">
        <v>36</v>
      </c>
      <c r="D2" s="4" t="s">
        <v>37</v>
      </c>
      <c r="E2" s="5">
        <v>43891</v>
      </c>
      <c r="F2" s="4" t="s">
        <v>33</v>
      </c>
      <c r="G2">
        <v>150000</v>
      </c>
      <c r="H2">
        <v>20000</v>
      </c>
      <c r="I2">
        <v>15000</v>
      </c>
      <c r="J2">
        <v>155000</v>
      </c>
    </row>
    <row r="3" spans="1:10">
      <c r="A3" s="4" t="s">
        <v>9</v>
      </c>
      <c r="B3" s="4" t="s">
        <v>38</v>
      </c>
      <c r="C3" s="4" t="s">
        <v>39</v>
      </c>
      <c r="D3" s="4" t="s">
        <v>12</v>
      </c>
      <c r="E3" s="5">
        <v>44362</v>
      </c>
      <c r="F3" s="4" t="s">
        <v>33</v>
      </c>
      <c r="G3">
        <v>200000</v>
      </c>
      <c r="H3">
        <v>0</v>
      </c>
      <c r="I3">
        <v>20000</v>
      </c>
      <c r="J3">
        <v>180000</v>
      </c>
    </row>
    <row r="4" spans="1:10">
      <c r="A4" s="4" t="s">
        <v>13</v>
      </c>
      <c r="B4" s="4" t="s">
        <v>14</v>
      </c>
      <c r="C4" s="4" t="s">
        <v>36</v>
      </c>
      <c r="D4" s="4" t="s">
        <v>37</v>
      </c>
      <c r="E4" s="5">
        <v>43529</v>
      </c>
      <c r="F4" s="4" t="s">
        <v>33</v>
      </c>
      <c r="G4">
        <v>175000</v>
      </c>
      <c r="H4">
        <v>15000</v>
      </c>
      <c r="I4">
        <v>0</v>
      </c>
      <c r="J4">
        <v>190000</v>
      </c>
    </row>
    <row r="5" spans="1:10">
      <c r="A5" s="4" t="s">
        <v>17</v>
      </c>
      <c r="B5" s="4" t="s">
        <v>14</v>
      </c>
      <c r="C5" s="4" t="s">
        <v>18</v>
      </c>
      <c r="D5" s="4" t="s">
        <v>19</v>
      </c>
      <c r="E5" s="5">
        <v>43285</v>
      </c>
      <c r="F5" s="4" t="s">
        <v>33</v>
      </c>
      <c r="G5">
        <v>160000</v>
      </c>
      <c r="H5">
        <v>10000</v>
      </c>
      <c r="I5">
        <v>12000</v>
      </c>
      <c r="J5">
        <v>158000</v>
      </c>
    </row>
    <row r="6" spans="1:10">
      <c r="A6" s="4" t="s">
        <v>20</v>
      </c>
      <c r="B6" s="4" t="s">
        <v>21</v>
      </c>
      <c r="C6" s="4" t="s">
        <v>39</v>
      </c>
      <c r="D6" s="4" t="s">
        <v>12</v>
      </c>
      <c r="E6" s="5">
        <v>44075</v>
      </c>
      <c r="F6" s="4" t="s">
        <v>34</v>
      </c>
      <c r="G6">
        <v>180000</v>
      </c>
      <c r="H6">
        <v>25000</v>
      </c>
      <c r="I6">
        <v>18000</v>
      </c>
      <c r="J6">
        <v>187000</v>
      </c>
    </row>
    <row r="7" spans="1:10">
      <c r="A7" s="4" t="s">
        <v>24</v>
      </c>
      <c r="B7" s="4" t="s">
        <v>25</v>
      </c>
      <c r="C7" s="4" t="s">
        <v>18</v>
      </c>
      <c r="D7" s="4" t="s">
        <v>19</v>
      </c>
      <c r="E7" s="5">
        <v>43045</v>
      </c>
      <c r="F7" s="4" t="s">
        <v>33</v>
      </c>
      <c r="G7">
        <v>190000</v>
      </c>
      <c r="H7">
        <v>0</v>
      </c>
      <c r="I7">
        <v>15000</v>
      </c>
      <c r="J7">
        <v>175000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A6CB-9D06-4219-BA3B-AF6BF7620E14}">
  <dimension ref="A1:E8"/>
  <sheetViews>
    <sheetView workbookViewId="0">
      <selection activeCell="E16" sqref="E16"/>
    </sheetView>
  </sheetViews>
  <sheetFormatPr defaultRowHeight="15"/>
  <cols>
    <col min="1" max="1" width="14.5703125" customWidth="1"/>
    <col min="2" max="2" width="16.28515625" customWidth="1"/>
    <col min="3" max="3" width="15.7109375" customWidth="1"/>
    <col min="4" max="4" width="12.140625" customWidth="1"/>
    <col min="5" max="5" width="14.140625" customWidth="1"/>
  </cols>
  <sheetData>
    <row r="1" spans="1: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>
      <c r="A2" s="2" t="s">
        <v>5</v>
      </c>
      <c r="B2" s="2" t="s">
        <v>6</v>
      </c>
      <c r="C2" s="2" t="s">
        <v>7</v>
      </c>
      <c r="D2" s="2" t="s">
        <v>8</v>
      </c>
      <c r="E2" s="3">
        <v>43891</v>
      </c>
    </row>
    <row r="3" spans="1:5" ht="30">
      <c r="A3" s="2" t="s">
        <v>9</v>
      </c>
      <c r="B3" s="2" t="s">
        <v>10</v>
      </c>
      <c r="C3" s="2" t="s">
        <v>11</v>
      </c>
      <c r="D3" s="2" t="s">
        <v>12</v>
      </c>
      <c r="E3" s="3">
        <v>44362</v>
      </c>
    </row>
    <row r="4" spans="1:5" ht="30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>
      <c r="A5" s="2" t="s">
        <v>17</v>
      </c>
      <c r="B5" s="2"/>
      <c r="C5" s="2" t="s">
        <v>18</v>
      </c>
      <c r="D5" s="2" t="s">
        <v>19</v>
      </c>
      <c r="E5" s="3">
        <v>43285</v>
      </c>
    </row>
    <row r="6" spans="1:5" ht="30">
      <c r="A6" s="2" t="s">
        <v>20</v>
      </c>
      <c r="B6" s="2" t="s">
        <v>21</v>
      </c>
      <c r="C6" s="2" t="s">
        <v>22</v>
      </c>
      <c r="D6" s="2" t="s">
        <v>23</v>
      </c>
      <c r="E6" s="3">
        <v>44075</v>
      </c>
    </row>
    <row r="7" spans="1:5" ht="30">
      <c r="A7" s="2" t="s">
        <v>24</v>
      </c>
      <c r="B7" s="2" t="s">
        <v>25</v>
      </c>
      <c r="C7" s="2" t="s">
        <v>26</v>
      </c>
      <c r="D7" s="2" t="s">
        <v>27</v>
      </c>
      <c r="E7" s="3">
        <v>43045</v>
      </c>
    </row>
    <row r="8" spans="1:5" ht="30">
      <c r="A8" s="2" t="s">
        <v>5</v>
      </c>
      <c r="B8" s="2" t="s">
        <v>6</v>
      </c>
      <c r="C8" s="2" t="s">
        <v>7</v>
      </c>
      <c r="D8" s="2" t="s">
        <v>8</v>
      </c>
      <c r="E8" s="3">
        <v>43891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0C56-7E64-4873-A519-C298F44DFAEE}">
  <dimension ref="A1:F8"/>
  <sheetViews>
    <sheetView workbookViewId="0">
      <selection activeCell="C13" sqref="C13"/>
    </sheetView>
  </sheetViews>
  <sheetFormatPr defaultRowHeight="15"/>
  <cols>
    <col min="1" max="1" width="14.28515625" customWidth="1"/>
    <col min="3" max="3" width="13.28515625" customWidth="1"/>
    <col min="5" max="5" width="13.140625" customWidth="1"/>
    <col min="6" max="6" width="10" customWidth="1"/>
  </cols>
  <sheetData>
    <row r="1" spans="1:6" ht="30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2" t="s">
        <v>5</v>
      </c>
      <c r="B2" s="2" t="s">
        <v>33</v>
      </c>
      <c r="C2" s="2">
        <v>150000</v>
      </c>
      <c r="D2" s="2">
        <v>20000</v>
      </c>
      <c r="E2" s="2">
        <v>15000</v>
      </c>
      <c r="F2" s="2"/>
    </row>
    <row r="3" spans="1:6">
      <c r="A3" s="2" t="s">
        <v>9</v>
      </c>
      <c r="B3" s="2" t="s">
        <v>33</v>
      </c>
      <c r="C3" s="2">
        <v>200000</v>
      </c>
      <c r="D3" s="2"/>
      <c r="E3" s="2">
        <v>20000</v>
      </c>
      <c r="F3" s="2">
        <v>180000</v>
      </c>
    </row>
    <row r="4" spans="1:6">
      <c r="A4" s="2" t="s">
        <v>13</v>
      </c>
      <c r="B4" s="2" t="s">
        <v>33</v>
      </c>
      <c r="C4" s="2">
        <v>175000</v>
      </c>
      <c r="D4" s="2">
        <v>15000</v>
      </c>
      <c r="E4" s="2"/>
      <c r="F4" s="2">
        <v>190000</v>
      </c>
    </row>
    <row r="5" spans="1:6">
      <c r="A5" s="2" t="s">
        <v>17</v>
      </c>
      <c r="B5" s="2" t="s">
        <v>33</v>
      </c>
      <c r="C5" s="2">
        <v>160000</v>
      </c>
      <c r="D5" s="2">
        <v>10000</v>
      </c>
      <c r="E5" s="2">
        <v>12000</v>
      </c>
      <c r="F5" s="2">
        <v>158000</v>
      </c>
    </row>
    <row r="6" spans="1:6">
      <c r="A6" s="2" t="s">
        <v>20</v>
      </c>
      <c r="B6" s="2" t="s">
        <v>34</v>
      </c>
      <c r="C6" s="2">
        <v>180000</v>
      </c>
      <c r="D6" s="2">
        <v>25000</v>
      </c>
      <c r="E6" s="2">
        <v>18000</v>
      </c>
      <c r="F6" s="2">
        <v>187000</v>
      </c>
    </row>
    <row r="7" spans="1:6">
      <c r="A7" s="2" t="s">
        <v>24</v>
      </c>
      <c r="B7" s="2" t="s">
        <v>33</v>
      </c>
      <c r="C7" s="2">
        <v>190000</v>
      </c>
      <c r="D7" s="2"/>
      <c r="E7" s="2">
        <v>15000</v>
      </c>
      <c r="F7" s="2">
        <v>175000</v>
      </c>
    </row>
    <row r="8" spans="1:6">
      <c r="A8" s="2" t="s">
        <v>5</v>
      </c>
      <c r="B8" s="2" t="s">
        <v>33</v>
      </c>
      <c r="C8" s="2">
        <v>150000</v>
      </c>
      <c r="D8" s="2">
        <v>20000</v>
      </c>
      <c r="E8" s="2">
        <v>15000</v>
      </c>
      <c r="F8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D372-B5A1-45A5-8B35-13C26452326C}">
  <dimension ref="A1:F100"/>
  <sheetViews>
    <sheetView workbookViewId="0">
      <selection activeCell="F1" sqref="F1"/>
    </sheetView>
  </sheetViews>
  <sheetFormatPr defaultRowHeight="15"/>
  <cols>
    <col min="1" max="1" width="14.42578125" bestFit="1" customWidth="1"/>
    <col min="2" max="2" width="10.7109375" bestFit="1" customWidth="1"/>
    <col min="3" max="3" width="13.85546875" bestFit="1" customWidth="1"/>
    <col min="4" max="4" width="8.7109375" bestFit="1" customWidth="1"/>
    <col min="5" max="5" width="12.42578125" bestFit="1" customWidth="1"/>
    <col min="6" max="6" width="10.140625" bestFit="1" customWidth="1"/>
    <col min="7" max="7" width="10.5703125" bestFit="1" customWidth="1"/>
  </cols>
  <sheetData>
    <row r="1" spans="1:6">
      <c r="A1" t="s">
        <v>0</v>
      </c>
      <c r="B1" t="s">
        <v>28</v>
      </c>
      <c r="C1" t="s">
        <v>40</v>
      </c>
      <c r="D1" t="s">
        <v>30</v>
      </c>
      <c r="E1" t="s">
        <v>41</v>
      </c>
      <c r="F1" t="s">
        <v>32</v>
      </c>
    </row>
    <row r="2" spans="1:6">
      <c r="A2" s="4" t="s">
        <v>43</v>
      </c>
      <c r="B2" s="5">
        <v>43863</v>
      </c>
      <c r="C2">
        <v>500</v>
      </c>
      <c r="D2">
        <v>500</v>
      </c>
      <c r="E2">
        <v>100</v>
      </c>
      <c r="F2">
        <v>900</v>
      </c>
    </row>
    <row r="3" spans="1:6">
      <c r="A3" s="4" t="s">
        <v>44</v>
      </c>
      <c r="B3" s="5">
        <v>46143</v>
      </c>
      <c r="C3">
        <v>5000</v>
      </c>
      <c r="D3">
        <v>700</v>
      </c>
      <c r="E3">
        <v>1200</v>
      </c>
      <c r="F3">
        <v>4500</v>
      </c>
    </row>
    <row r="4" spans="1:6">
      <c r="A4" s="4" t="s">
        <v>45</v>
      </c>
      <c r="B4" s="5">
        <v>46054</v>
      </c>
      <c r="C4">
        <v>4000</v>
      </c>
      <c r="D4">
        <v>700</v>
      </c>
      <c r="E4">
        <v>120</v>
      </c>
      <c r="F4">
        <v>4580</v>
      </c>
    </row>
    <row r="5" spans="1:6">
      <c r="A5" s="4"/>
      <c r="B5" s="5"/>
      <c r="C5">
        <v>0</v>
      </c>
      <c r="D5">
        <v>0</v>
      </c>
      <c r="E5">
        <v>0</v>
      </c>
      <c r="F5">
        <v>0</v>
      </c>
    </row>
    <row r="6" spans="1:6">
      <c r="A6" s="4"/>
      <c r="B6" s="5"/>
      <c r="C6">
        <v>0</v>
      </c>
      <c r="D6">
        <v>0</v>
      </c>
      <c r="E6">
        <v>0</v>
      </c>
      <c r="F6">
        <v>0</v>
      </c>
    </row>
    <row r="7" spans="1:6">
      <c r="A7" s="4"/>
      <c r="B7" s="5"/>
      <c r="C7">
        <v>0</v>
      </c>
      <c r="D7">
        <v>0</v>
      </c>
      <c r="E7">
        <v>0</v>
      </c>
      <c r="F7">
        <v>0</v>
      </c>
    </row>
    <row r="8" spans="1:6">
      <c r="A8" s="4"/>
      <c r="B8" s="5"/>
      <c r="C8">
        <v>0</v>
      </c>
      <c r="D8">
        <v>0</v>
      </c>
      <c r="E8">
        <v>0</v>
      </c>
      <c r="F8">
        <v>0</v>
      </c>
    </row>
    <row r="9" spans="1:6">
      <c r="A9" s="4"/>
      <c r="B9" s="5"/>
      <c r="C9">
        <v>0</v>
      </c>
      <c r="D9">
        <v>0</v>
      </c>
      <c r="E9">
        <v>0</v>
      </c>
      <c r="F9">
        <v>0</v>
      </c>
    </row>
    <row r="10" spans="1:6">
      <c r="A10" s="4"/>
      <c r="B10" s="5"/>
      <c r="C10">
        <v>0</v>
      </c>
      <c r="D10">
        <v>0</v>
      </c>
      <c r="E10">
        <v>0</v>
      </c>
      <c r="F10">
        <v>0</v>
      </c>
    </row>
    <row r="11" spans="1:6">
      <c r="A11" s="4"/>
      <c r="B11" s="5"/>
      <c r="C11">
        <v>0</v>
      </c>
      <c r="D11">
        <v>0</v>
      </c>
      <c r="E11">
        <v>0</v>
      </c>
      <c r="F11">
        <v>0</v>
      </c>
    </row>
    <row r="12" spans="1:6">
      <c r="A12" s="4"/>
      <c r="B12" s="5"/>
      <c r="C12">
        <v>0</v>
      </c>
      <c r="D12">
        <v>0</v>
      </c>
      <c r="E12">
        <v>0</v>
      </c>
      <c r="F12">
        <v>0</v>
      </c>
    </row>
    <row r="13" spans="1:6">
      <c r="A13" s="4"/>
      <c r="B13" s="5"/>
      <c r="C13">
        <v>0</v>
      </c>
      <c r="D13">
        <v>0</v>
      </c>
      <c r="E13">
        <v>0</v>
      </c>
      <c r="F13">
        <v>0</v>
      </c>
    </row>
    <row r="14" spans="1:6">
      <c r="A14" s="4"/>
      <c r="B14" s="5"/>
      <c r="C14">
        <v>0</v>
      </c>
      <c r="D14">
        <v>0</v>
      </c>
      <c r="E14">
        <v>0</v>
      </c>
      <c r="F14">
        <v>0</v>
      </c>
    </row>
    <row r="15" spans="1:6">
      <c r="A15" s="4"/>
      <c r="B15" s="5"/>
      <c r="C15">
        <v>0</v>
      </c>
      <c r="D15">
        <v>0</v>
      </c>
      <c r="E15">
        <v>0</v>
      </c>
      <c r="F15">
        <v>0</v>
      </c>
    </row>
    <row r="16" spans="1:6">
      <c r="A16" s="4"/>
      <c r="B16" s="5"/>
      <c r="C16">
        <v>0</v>
      </c>
      <c r="D16">
        <v>0</v>
      </c>
      <c r="E16">
        <v>0</v>
      </c>
      <c r="F16">
        <v>0</v>
      </c>
    </row>
    <row r="17" spans="1:6">
      <c r="A17" s="4"/>
      <c r="B17" s="5"/>
      <c r="C17">
        <v>0</v>
      </c>
      <c r="D17">
        <v>0</v>
      </c>
      <c r="E17">
        <v>0</v>
      </c>
      <c r="F17">
        <v>0</v>
      </c>
    </row>
    <row r="18" spans="1:6">
      <c r="A18" s="4"/>
      <c r="B18" s="5"/>
      <c r="C18">
        <v>0</v>
      </c>
      <c r="D18">
        <v>0</v>
      </c>
      <c r="E18">
        <v>0</v>
      </c>
      <c r="F18">
        <v>0</v>
      </c>
    </row>
    <row r="19" spans="1:6">
      <c r="A19" s="4"/>
      <c r="B19" s="5"/>
      <c r="C19">
        <v>0</v>
      </c>
      <c r="D19">
        <v>0</v>
      </c>
      <c r="E19">
        <v>0</v>
      </c>
      <c r="F19">
        <v>0</v>
      </c>
    </row>
    <row r="20" spans="1:6">
      <c r="A20" s="4"/>
      <c r="B20" s="5"/>
      <c r="C20">
        <v>0</v>
      </c>
      <c r="D20">
        <v>0</v>
      </c>
      <c r="E20">
        <v>0</v>
      </c>
      <c r="F20">
        <v>0</v>
      </c>
    </row>
    <row r="21" spans="1:6">
      <c r="A21" s="4"/>
      <c r="B21" s="5"/>
      <c r="C21">
        <v>0</v>
      </c>
      <c r="D21">
        <v>0</v>
      </c>
      <c r="E21">
        <v>0</v>
      </c>
      <c r="F21">
        <v>0</v>
      </c>
    </row>
    <row r="22" spans="1:6">
      <c r="A22" s="4"/>
      <c r="B22" s="5"/>
      <c r="C22">
        <v>0</v>
      </c>
      <c r="D22">
        <v>0</v>
      </c>
      <c r="E22">
        <v>0</v>
      </c>
      <c r="F22">
        <v>0</v>
      </c>
    </row>
    <row r="23" spans="1:6">
      <c r="A23" s="4"/>
      <c r="B23" s="5"/>
      <c r="C23">
        <v>0</v>
      </c>
      <c r="D23">
        <v>0</v>
      </c>
      <c r="E23">
        <v>0</v>
      </c>
      <c r="F23">
        <v>0</v>
      </c>
    </row>
    <row r="24" spans="1:6">
      <c r="A24" s="4"/>
      <c r="B24" s="5"/>
      <c r="C24">
        <v>0</v>
      </c>
      <c r="D24">
        <v>0</v>
      </c>
      <c r="E24">
        <v>0</v>
      </c>
      <c r="F24">
        <v>0</v>
      </c>
    </row>
    <row r="25" spans="1:6">
      <c r="A25" s="4"/>
      <c r="B25" s="5"/>
      <c r="C25">
        <v>0</v>
      </c>
      <c r="D25">
        <v>0</v>
      </c>
      <c r="E25">
        <v>0</v>
      </c>
      <c r="F25">
        <v>0</v>
      </c>
    </row>
    <row r="26" spans="1:6">
      <c r="A26" s="4"/>
      <c r="B26" s="5"/>
      <c r="C26">
        <v>0</v>
      </c>
      <c r="D26">
        <v>0</v>
      </c>
      <c r="E26">
        <v>0</v>
      </c>
      <c r="F26">
        <v>0</v>
      </c>
    </row>
    <row r="27" spans="1:6">
      <c r="A27" s="4"/>
      <c r="B27" s="5"/>
      <c r="C27">
        <v>0</v>
      </c>
      <c r="D27">
        <v>0</v>
      </c>
      <c r="E27">
        <v>0</v>
      </c>
      <c r="F27">
        <v>0</v>
      </c>
    </row>
    <row r="28" spans="1:6">
      <c r="A28" s="4"/>
      <c r="B28" s="5"/>
      <c r="C28">
        <v>0</v>
      </c>
      <c r="D28">
        <v>0</v>
      </c>
      <c r="E28">
        <v>0</v>
      </c>
      <c r="F28">
        <v>0</v>
      </c>
    </row>
    <row r="29" spans="1:6">
      <c r="A29" s="4"/>
      <c r="B29" s="5"/>
      <c r="C29">
        <v>0</v>
      </c>
      <c r="D29">
        <v>0</v>
      </c>
      <c r="E29">
        <v>0</v>
      </c>
      <c r="F29">
        <v>0</v>
      </c>
    </row>
    <row r="30" spans="1:6">
      <c r="A30" s="4"/>
      <c r="B30" s="5"/>
      <c r="C30">
        <v>0</v>
      </c>
      <c r="D30">
        <v>0</v>
      </c>
      <c r="E30">
        <v>0</v>
      </c>
      <c r="F30">
        <v>0</v>
      </c>
    </row>
    <row r="31" spans="1:6">
      <c r="A31" s="4"/>
      <c r="B31" s="5"/>
      <c r="C31">
        <v>0</v>
      </c>
      <c r="D31">
        <v>0</v>
      </c>
      <c r="E31">
        <v>0</v>
      </c>
      <c r="F31">
        <v>0</v>
      </c>
    </row>
    <row r="32" spans="1:6">
      <c r="A32" s="4"/>
      <c r="B32" s="5"/>
      <c r="C32">
        <v>0</v>
      </c>
      <c r="D32">
        <v>0</v>
      </c>
      <c r="E32">
        <v>0</v>
      </c>
      <c r="F32">
        <v>0</v>
      </c>
    </row>
    <row r="33" spans="1:6">
      <c r="A33" s="4"/>
      <c r="B33" s="5"/>
      <c r="C33">
        <v>0</v>
      </c>
      <c r="D33">
        <v>0</v>
      </c>
      <c r="E33">
        <v>0</v>
      </c>
      <c r="F33">
        <v>0</v>
      </c>
    </row>
    <row r="34" spans="1:6">
      <c r="A34" s="4"/>
      <c r="B34" s="5"/>
      <c r="C34">
        <v>0</v>
      </c>
      <c r="D34">
        <v>0</v>
      </c>
      <c r="E34">
        <v>0</v>
      </c>
      <c r="F34">
        <v>0</v>
      </c>
    </row>
    <row r="35" spans="1:6">
      <c r="A35" s="4"/>
      <c r="B35" s="5"/>
      <c r="C35">
        <v>0</v>
      </c>
      <c r="D35">
        <v>0</v>
      </c>
      <c r="E35">
        <v>0</v>
      </c>
      <c r="F35">
        <v>0</v>
      </c>
    </row>
    <row r="36" spans="1:6">
      <c r="A36" s="4"/>
      <c r="B36" s="5"/>
      <c r="C36">
        <v>0</v>
      </c>
      <c r="D36">
        <v>0</v>
      </c>
      <c r="E36">
        <v>0</v>
      </c>
      <c r="F36">
        <v>0</v>
      </c>
    </row>
    <row r="37" spans="1:6">
      <c r="A37" s="4"/>
      <c r="B37" s="5"/>
      <c r="C37">
        <v>0</v>
      </c>
      <c r="D37">
        <v>0</v>
      </c>
      <c r="E37">
        <v>0</v>
      </c>
      <c r="F37">
        <v>0</v>
      </c>
    </row>
    <row r="38" spans="1:6">
      <c r="A38" s="4"/>
      <c r="B38" s="5"/>
      <c r="C38">
        <v>0</v>
      </c>
      <c r="D38">
        <v>0</v>
      </c>
      <c r="E38">
        <v>0</v>
      </c>
      <c r="F38">
        <v>0</v>
      </c>
    </row>
    <row r="39" spans="1:6">
      <c r="A39" s="4"/>
      <c r="B39" s="5"/>
      <c r="C39">
        <v>0</v>
      </c>
      <c r="D39">
        <v>0</v>
      </c>
      <c r="E39">
        <v>0</v>
      </c>
      <c r="F39">
        <v>0</v>
      </c>
    </row>
    <row r="40" spans="1:6">
      <c r="A40" s="4"/>
      <c r="B40" s="5"/>
      <c r="C40">
        <v>0</v>
      </c>
      <c r="D40">
        <v>0</v>
      </c>
      <c r="E40">
        <v>0</v>
      </c>
      <c r="F40">
        <v>0</v>
      </c>
    </row>
    <row r="41" spans="1:6">
      <c r="A41" s="4"/>
      <c r="B41" s="5"/>
      <c r="C41">
        <v>0</v>
      </c>
      <c r="D41">
        <v>0</v>
      </c>
      <c r="E41">
        <v>0</v>
      </c>
      <c r="F41">
        <v>0</v>
      </c>
    </row>
    <row r="42" spans="1:6">
      <c r="A42" s="4"/>
      <c r="B42" s="5"/>
      <c r="C42">
        <v>0</v>
      </c>
      <c r="D42">
        <v>0</v>
      </c>
      <c r="E42">
        <v>0</v>
      </c>
      <c r="F42">
        <v>0</v>
      </c>
    </row>
    <row r="43" spans="1:6">
      <c r="A43" s="4"/>
      <c r="B43" s="5"/>
      <c r="C43">
        <v>0</v>
      </c>
      <c r="D43">
        <v>0</v>
      </c>
      <c r="E43">
        <v>0</v>
      </c>
      <c r="F43">
        <v>0</v>
      </c>
    </row>
    <row r="44" spans="1:6">
      <c r="A44" s="4"/>
      <c r="B44" s="5"/>
      <c r="C44">
        <v>0</v>
      </c>
      <c r="D44">
        <v>0</v>
      </c>
      <c r="E44">
        <v>0</v>
      </c>
      <c r="F44">
        <v>0</v>
      </c>
    </row>
    <row r="45" spans="1:6">
      <c r="A45" s="4"/>
      <c r="B45" s="5"/>
      <c r="C45">
        <v>0</v>
      </c>
      <c r="D45">
        <v>0</v>
      </c>
      <c r="E45">
        <v>0</v>
      </c>
      <c r="F45">
        <v>0</v>
      </c>
    </row>
    <row r="46" spans="1:6">
      <c r="A46" s="4"/>
      <c r="B46" s="5"/>
      <c r="C46">
        <v>0</v>
      </c>
      <c r="D46">
        <v>0</v>
      </c>
      <c r="E46">
        <v>0</v>
      </c>
      <c r="F46">
        <v>0</v>
      </c>
    </row>
    <row r="47" spans="1:6">
      <c r="A47" s="4"/>
      <c r="B47" s="5"/>
      <c r="C47">
        <v>0</v>
      </c>
      <c r="D47">
        <v>0</v>
      </c>
      <c r="E47">
        <v>0</v>
      </c>
      <c r="F47">
        <v>0</v>
      </c>
    </row>
    <row r="48" spans="1:6">
      <c r="A48" s="4"/>
      <c r="B48" s="5"/>
      <c r="C48">
        <v>0</v>
      </c>
      <c r="D48">
        <v>0</v>
      </c>
      <c r="E48">
        <v>0</v>
      </c>
      <c r="F48">
        <v>0</v>
      </c>
    </row>
    <row r="49" spans="1:6">
      <c r="A49" s="4"/>
      <c r="B49" s="5"/>
      <c r="C49">
        <v>0</v>
      </c>
      <c r="D49">
        <v>0</v>
      </c>
      <c r="E49">
        <v>0</v>
      </c>
      <c r="F49">
        <v>0</v>
      </c>
    </row>
    <row r="50" spans="1:6">
      <c r="A50" s="4"/>
      <c r="B50" s="5"/>
      <c r="C50">
        <v>0</v>
      </c>
      <c r="D50">
        <v>0</v>
      </c>
      <c r="E50">
        <v>0</v>
      </c>
      <c r="F50">
        <v>0</v>
      </c>
    </row>
    <row r="51" spans="1:6">
      <c r="A51" s="4"/>
      <c r="B51" s="5"/>
      <c r="C51">
        <v>0</v>
      </c>
      <c r="D51">
        <v>0</v>
      </c>
      <c r="E51">
        <v>0</v>
      </c>
      <c r="F51">
        <v>0</v>
      </c>
    </row>
    <row r="52" spans="1:6">
      <c r="A52" s="4"/>
      <c r="B52" s="5"/>
      <c r="C52">
        <v>0</v>
      </c>
      <c r="D52">
        <v>0</v>
      </c>
      <c r="E52">
        <v>0</v>
      </c>
      <c r="F52">
        <v>0</v>
      </c>
    </row>
    <row r="53" spans="1:6">
      <c r="A53" s="4"/>
      <c r="B53" s="5"/>
      <c r="C53">
        <v>0</v>
      </c>
      <c r="D53">
        <v>0</v>
      </c>
      <c r="E53">
        <v>0</v>
      </c>
      <c r="F53">
        <v>0</v>
      </c>
    </row>
    <row r="54" spans="1:6">
      <c r="A54" s="4"/>
      <c r="B54" s="5"/>
      <c r="C54">
        <v>0</v>
      </c>
      <c r="D54">
        <v>0</v>
      </c>
      <c r="E54">
        <v>0</v>
      </c>
      <c r="F54">
        <v>0</v>
      </c>
    </row>
    <row r="55" spans="1:6">
      <c r="A55" s="4"/>
      <c r="B55" s="5"/>
      <c r="C55">
        <v>0</v>
      </c>
      <c r="D55">
        <v>0</v>
      </c>
      <c r="E55">
        <v>0</v>
      </c>
      <c r="F55">
        <v>0</v>
      </c>
    </row>
    <row r="56" spans="1:6">
      <c r="A56" s="4"/>
      <c r="B56" s="5"/>
      <c r="C56">
        <v>0</v>
      </c>
      <c r="D56">
        <v>0</v>
      </c>
      <c r="E56">
        <v>0</v>
      </c>
      <c r="F56">
        <v>0</v>
      </c>
    </row>
    <row r="57" spans="1:6">
      <c r="A57" s="4"/>
      <c r="B57" s="5"/>
      <c r="C57">
        <v>0</v>
      </c>
      <c r="D57">
        <v>0</v>
      </c>
      <c r="E57">
        <v>0</v>
      </c>
      <c r="F57">
        <v>0</v>
      </c>
    </row>
    <row r="58" spans="1:6">
      <c r="A58" s="4"/>
      <c r="B58" s="5"/>
      <c r="C58">
        <v>0</v>
      </c>
      <c r="D58">
        <v>0</v>
      </c>
      <c r="E58">
        <v>0</v>
      </c>
      <c r="F58">
        <v>0</v>
      </c>
    </row>
    <row r="59" spans="1:6">
      <c r="A59" s="4"/>
      <c r="B59" s="5"/>
      <c r="C59">
        <v>0</v>
      </c>
      <c r="D59">
        <v>0</v>
      </c>
      <c r="E59">
        <v>0</v>
      </c>
      <c r="F59">
        <v>0</v>
      </c>
    </row>
    <row r="60" spans="1:6">
      <c r="A60" s="4"/>
      <c r="B60" s="5"/>
      <c r="C60">
        <v>0</v>
      </c>
      <c r="D60">
        <v>0</v>
      </c>
      <c r="E60">
        <v>0</v>
      </c>
      <c r="F60">
        <v>0</v>
      </c>
    </row>
    <row r="61" spans="1:6">
      <c r="A61" s="4"/>
      <c r="B61" s="5"/>
      <c r="C61">
        <v>0</v>
      </c>
      <c r="D61">
        <v>0</v>
      </c>
      <c r="E61">
        <v>0</v>
      </c>
      <c r="F61">
        <v>0</v>
      </c>
    </row>
    <row r="62" spans="1:6">
      <c r="A62" s="4"/>
      <c r="B62" s="5"/>
      <c r="C62">
        <v>0</v>
      </c>
      <c r="D62">
        <v>0</v>
      </c>
      <c r="E62">
        <v>0</v>
      </c>
      <c r="F62">
        <v>0</v>
      </c>
    </row>
    <row r="63" spans="1:6">
      <c r="A63" s="4"/>
      <c r="B63" s="5"/>
      <c r="C63">
        <v>0</v>
      </c>
      <c r="D63">
        <v>0</v>
      </c>
      <c r="E63">
        <v>0</v>
      </c>
      <c r="F63">
        <v>0</v>
      </c>
    </row>
    <row r="64" spans="1:6">
      <c r="A64" s="4"/>
      <c r="B64" s="5"/>
      <c r="C64">
        <v>0</v>
      </c>
      <c r="D64">
        <v>0</v>
      </c>
      <c r="E64">
        <v>0</v>
      </c>
      <c r="F64">
        <v>0</v>
      </c>
    </row>
    <row r="65" spans="1:6">
      <c r="A65" s="4"/>
      <c r="B65" s="5"/>
      <c r="C65">
        <v>0</v>
      </c>
      <c r="D65">
        <v>0</v>
      </c>
      <c r="E65">
        <v>0</v>
      </c>
      <c r="F65">
        <v>0</v>
      </c>
    </row>
    <row r="66" spans="1:6">
      <c r="A66" s="4"/>
      <c r="B66" s="5"/>
      <c r="C66">
        <v>0</v>
      </c>
      <c r="D66">
        <v>0</v>
      </c>
      <c r="E66">
        <v>0</v>
      </c>
      <c r="F66">
        <v>0</v>
      </c>
    </row>
    <row r="67" spans="1:6">
      <c r="A67" s="4"/>
      <c r="B67" s="5"/>
      <c r="C67">
        <v>0</v>
      </c>
      <c r="D67">
        <v>0</v>
      </c>
      <c r="E67">
        <v>0</v>
      </c>
      <c r="F67">
        <v>0</v>
      </c>
    </row>
    <row r="68" spans="1:6">
      <c r="A68" s="4"/>
      <c r="B68" s="5"/>
      <c r="C68">
        <v>0</v>
      </c>
      <c r="D68">
        <v>0</v>
      </c>
      <c r="E68">
        <v>0</v>
      </c>
      <c r="F68">
        <v>0</v>
      </c>
    </row>
    <row r="69" spans="1:6">
      <c r="A69" s="4"/>
      <c r="B69" s="5"/>
      <c r="C69">
        <v>0</v>
      </c>
      <c r="D69">
        <v>0</v>
      </c>
      <c r="E69">
        <v>0</v>
      </c>
      <c r="F69">
        <v>0</v>
      </c>
    </row>
    <row r="70" spans="1:6">
      <c r="A70" s="4"/>
      <c r="B70" s="5"/>
      <c r="C70">
        <v>0</v>
      </c>
      <c r="D70">
        <v>0</v>
      </c>
      <c r="E70">
        <v>0</v>
      </c>
      <c r="F70">
        <v>0</v>
      </c>
    </row>
    <row r="71" spans="1:6">
      <c r="A71" s="4"/>
      <c r="B71" s="5"/>
      <c r="C71">
        <v>0</v>
      </c>
      <c r="D71">
        <v>0</v>
      </c>
      <c r="E71">
        <v>0</v>
      </c>
      <c r="F71">
        <v>0</v>
      </c>
    </row>
    <row r="72" spans="1:6">
      <c r="A72" s="4"/>
      <c r="B72" s="5"/>
      <c r="C72">
        <v>0</v>
      </c>
      <c r="D72">
        <v>0</v>
      </c>
      <c r="E72">
        <v>0</v>
      </c>
      <c r="F72">
        <v>0</v>
      </c>
    </row>
    <row r="73" spans="1:6">
      <c r="A73" s="4"/>
      <c r="B73" s="5"/>
      <c r="C73">
        <v>0</v>
      </c>
      <c r="D73">
        <v>0</v>
      </c>
      <c r="E73">
        <v>0</v>
      </c>
      <c r="F73">
        <v>0</v>
      </c>
    </row>
    <row r="74" spans="1:6">
      <c r="A74" s="4"/>
      <c r="B74" s="5"/>
      <c r="C74">
        <v>0</v>
      </c>
      <c r="D74">
        <v>0</v>
      </c>
      <c r="E74">
        <v>0</v>
      </c>
      <c r="F74">
        <v>0</v>
      </c>
    </row>
    <row r="75" spans="1:6">
      <c r="A75" s="4"/>
      <c r="B75" s="5"/>
      <c r="C75">
        <v>0</v>
      </c>
      <c r="D75">
        <v>0</v>
      </c>
      <c r="E75">
        <v>0</v>
      </c>
      <c r="F75">
        <v>0</v>
      </c>
    </row>
    <row r="76" spans="1:6">
      <c r="A76" s="4"/>
      <c r="B76" s="5"/>
      <c r="C76">
        <v>0</v>
      </c>
      <c r="D76">
        <v>0</v>
      </c>
      <c r="E76">
        <v>0</v>
      </c>
      <c r="F76">
        <v>0</v>
      </c>
    </row>
    <row r="77" spans="1:6">
      <c r="A77" s="4"/>
      <c r="B77" s="5"/>
      <c r="C77">
        <v>0</v>
      </c>
      <c r="D77">
        <v>0</v>
      </c>
      <c r="E77">
        <v>0</v>
      </c>
      <c r="F77">
        <v>0</v>
      </c>
    </row>
    <row r="78" spans="1:6">
      <c r="A78" s="4"/>
      <c r="B78" s="5"/>
      <c r="C78">
        <v>0</v>
      </c>
      <c r="D78">
        <v>0</v>
      </c>
      <c r="E78">
        <v>0</v>
      </c>
      <c r="F78">
        <v>0</v>
      </c>
    </row>
    <row r="79" spans="1:6">
      <c r="A79" s="4"/>
      <c r="B79" s="5"/>
      <c r="C79">
        <v>0</v>
      </c>
      <c r="D79">
        <v>0</v>
      </c>
      <c r="E79">
        <v>0</v>
      </c>
      <c r="F79">
        <v>0</v>
      </c>
    </row>
    <row r="80" spans="1:6">
      <c r="A80" s="4"/>
      <c r="B80" s="5"/>
      <c r="C80">
        <v>0</v>
      </c>
      <c r="D80">
        <v>0</v>
      </c>
      <c r="E80">
        <v>0</v>
      </c>
      <c r="F80">
        <v>0</v>
      </c>
    </row>
    <row r="81" spans="1:6">
      <c r="A81" s="4"/>
      <c r="B81" s="5"/>
      <c r="C81">
        <v>0</v>
      </c>
      <c r="D81">
        <v>0</v>
      </c>
      <c r="E81">
        <v>0</v>
      </c>
      <c r="F81">
        <v>0</v>
      </c>
    </row>
    <row r="82" spans="1:6">
      <c r="A82" s="4"/>
      <c r="B82" s="5"/>
      <c r="C82">
        <v>0</v>
      </c>
      <c r="D82">
        <v>0</v>
      </c>
      <c r="E82">
        <v>0</v>
      </c>
      <c r="F82">
        <v>0</v>
      </c>
    </row>
    <row r="83" spans="1:6">
      <c r="A83" s="4"/>
      <c r="B83" s="5"/>
      <c r="C83">
        <v>0</v>
      </c>
      <c r="D83">
        <v>0</v>
      </c>
      <c r="E83">
        <v>0</v>
      </c>
      <c r="F83">
        <v>0</v>
      </c>
    </row>
    <row r="84" spans="1:6">
      <c r="A84" s="4"/>
      <c r="B84" s="5"/>
      <c r="C84">
        <v>0</v>
      </c>
      <c r="D84">
        <v>0</v>
      </c>
      <c r="E84">
        <v>0</v>
      </c>
      <c r="F84">
        <v>0</v>
      </c>
    </row>
    <row r="85" spans="1:6">
      <c r="A85" s="4"/>
      <c r="B85" s="5"/>
      <c r="C85">
        <v>0</v>
      </c>
      <c r="D85">
        <v>0</v>
      </c>
      <c r="E85">
        <v>0</v>
      </c>
      <c r="F85">
        <v>0</v>
      </c>
    </row>
    <row r="86" spans="1:6">
      <c r="A86" s="4"/>
      <c r="B86" s="5"/>
      <c r="C86">
        <v>0</v>
      </c>
      <c r="D86">
        <v>0</v>
      </c>
      <c r="E86">
        <v>0</v>
      </c>
      <c r="F86">
        <v>0</v>
      </c>
    </row>
    <row r="87" spans="1:6">
      <c r="A87" s="4"/>
      <c r="B87" s="5"/>
      <c r="C87">
        <v>0</v>
      </c>
      <c r="D87">
        <v>0</v>
      </c>
      <c r="E87">
        <v>0</v>
      </c>
      <c r="F87">
        <v>0</v>
      </c>
    </row>
    <row r="88" spans="1:6">
      <c r="A88" s="4"/>
      <c r="B88" s="5"/>
      <c r="C88">
        <v>0</v>
      </c>
      <c r="D88">
        <v>0</v>
      </c>
      <c r="E88">
        <v>0</v>
      </c>
      <c r="F88">
        <v>0</v>
      </c>
    </row>
    <row r="89" spans="1:6">
      <c r="A89" s="4"/>
      <c r="B89" s="5"/>
      <c r="C89">
        <v>0</v>
      </c>
      <c r="D89">
        <v>0</v>
      </c>
      <c r="E89">
        <v>0</v>
      </c>
      <c r="F89">
        <v>0</v>
      </c>
    </row>
    <row r="90" spans="1:6">
      <c r="A90" s="4"/>
      <c r="B90" s="5"/>
      <c r="C90">
        <v>0</v>
      </c>
      <c r="D90">
        <v>0</v>
      </c>
      <c r="E90">
        <v>0</v>
      </c>
      <c r="F90">
        <v>0</v>
      </c>
    </row>
    <row r="91" spans="1:6">
      <c r="A91" s="4"/>
      <c r="B91" s="5"/>
      <c r="C91">
        <v>0</v>
      </c>
      <c r="D91">
        <v>0</v>
      </c>
      <c r="E91">
        <v>0</v>
      </c>
      <c r="F91">
        <v>0</v>
      </c>
    </row>
    <row r="92" spans="1:6">
      <c r="A92" s="4"/>
      <c r="B92" s="5"/>
      <c r="C92">
        <v>0</v>
      </c>
      <c r="D92">
        <v>0</v>
      </c>
      <c r="E92">
        <v>0</v>
      </c>
      <c r="F92">
        <v>0</v>
      </c>
    </row>
    <row r="93" spans="1:6">
      <c r="A93" s="4"/>
      <c r="B93" s="5"/>
      <c r="C93">
        <v>0</v>
      </c>
      <c r="D93">
        <v>0</v>
      </c>
      <c r="E93">
        <v>0</v>
      </c>
      <c r="F93">
        <v>0</v>
      </c>
    </row>
    <row r="94" spans="1:6">
      <c r="A94" s="4"/>
      <c r="B94" s="5"/>
      <c r="C94">
        <v>0</v>
      </c>
      <c r="D94">
        <v>0</v>
      </c>
      <c r="E94">
        <v>0</v>
      </c>
      <c r="F94">
        <v>0</v>
      </c>
    </row>
    <row r="95" spans="1:6">
      <c r="A95" s="4"/>
      <c r="B95" s="5"/>
      <c r="C95">
        <v>0</v>
      </c>
      <c r="D95">
        <v>0</v>
      </c>
      <c r="E95">
        <v>0</v>
      </c>
      <c r="F95">
        <v>0</v>
      </c>
    </row>
    <row r="96" spans="1:6">
      <c r="A96" s="4"/>
      <c r="B96" s="5"/>
      <c r="C96">
        <v>0</v>
      </c>
      <c r="D96">
        <v>0</v>
      </c>
      <c r="E96">
        <v>0</v>
      </c>
      <c r="F96">
        <v>0</v>
      </c>
    </row>
    <row r="97" spans="1:6">
      <c r="A97" s="4"/>
      <c r="B97" s="5"/>
      <c r="C97">
        <v>0</v>
      </c>
      <c r="D97">
        <v>0</v>
      </c>
      <c r="E97">
        <v>0</v>
      </c>
      <c r="F97">
        <v>0</v>
      </c>
    </row>
    <row r="98" spans="1:6">
      <c r="A98" s="4"/>
      <c r="B98" s="5"/>
      <c r="C98">
        <v>0</v>
      </c>
      <c r="D98">
        <v>0</v>
      </c>
      <c r="E98">
        <v>0</v>
      </c>
      <c r="F98">
        <v>0</v>
      </c>
    </row>
    <row r="99" spans="1:6">
      <c r="A99" s="4"/>
      <c r="B99" s="5"/>
      <c r="C99">
        <v>0</v>
      </c>
      <c r="D99">
        <v>0</v>
      </c>
      <c r="E99">
        <v>0</v>
      </c>
      <c r="F99">
        <v>0</v>
      </c>
    </row>
    <row r="100" spans="1:6">
      <c r="A100" s="4"/>
      <c r="B100" s="5"/>
      <c r="C100">
        <v>0</v>
      </c>
      <c r="D100">
        <v>0</v>
      </c>
      <c r="E100">
        <v>0</v>
      </c>
      <c r="F10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4439-67FE-43A6-A194-2CB0D4F963B0}">
  <dimension ref="A1:F4"/>
  <sheetViews>
    <sheetView workbookViewId="0">
      <selection activeCell="B5" sqref="B5"/>
    </sheetView>
  </sheetViews>
  <sheetFormatPr defaultRowHeight="15"/>
  <cols>
    <col min="1" max="1" width="14.28515625" customWidth="1"/>
    <col min="2" max="2" width="10.42578125" customWidth="1"/>
    <col min="3" max="3" width="13.7109375" customWidth="1"/>
    <col min="5" max="5" width="12.28515625" customWidth="1"/>
    <col min="6" max="6" width="10.42578125" customWidth="1"/>
  </cols>
  <sheetData>
    <row r="1" spans="1:6">
      <c r="A1" t="s">
        <v>0</v>
      </c>
      <c r="B1" t="s">
        <v>28</v>
      </c>
      <c r="C1" t="s">
        <v>40</v>
      </c>
      <c r="D1" t="s">
        <v>30</v>
      </c>
      <c r="E1" t="s">
        <v>41</v>
      </c>
      <c r="F1" t="s">
        <v>42</v>
      </c>
    </row>
    <row r="2" spans="1:6">
      <c r="A2" t="s">
        <v>43</v>
      </c>
      <c r="B2" s="5">
        <v>43863</v>
      </c>
      <c r="C2">
        <v>500</v>
      </c>
      <c r="D2">
        <v>500</v>
      </c>
      <c r="E2">
        <v>100</v>
      </c>
    </row>
    <row r="3" spans="1:6">
      <c r="A3" t="s">
        <v>44</v>
      </c>
      <c r="B3" s="5">
        <v>46143</v>
      </c>
      <c r="C3">
        <v>5000</v>
      </c>
      <c r="D3">
        <v>700</v>
      </c>
      <c r="E3">
        <v>1200</v>
      </c>
    </row>
    <row r="4" spans="1:6">
      <c r="A4" t="s">
        <v>45</v>
      </c>
      <c r="B4" s="5">
        <v>46054</v>
      </c>
      <c r="C4">
        <v>4000</v>
      </c>
      <c r="D4">
        <v>700</v>
      </c>
      <c r="E4">
        <v>120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92DD-7B56-44BC-B810-CB9AA86FAEEF}">
  <dimension ref="A1:B5"/>
  <sheetViews>
    <sheetView tabSelected="1" workbookViewId="0">
      <selection activeCell="A4" sqref="A4"/>
    </sheetView>
  </sheetViews>
  <sheetFormatPr defaultRowHeight="15"/>
  <cols>
    <col min="1" max="1" width="24.42578125" customWidth="1"/>
    <col min="2" max="2" width="12.7109375" customWidth="1"/>
  </cols>
  <sheetData>
    <row r="1" spans="1:2">
      <c r="A1" s="7" t="s">
        <v>50</v>
      </c>
      <c r="B1" s="1" t="s">
        <v>51</v>
      </c>
    </row>
    <row r="2" spans="1:2">
      <c r="A2" s="7" t="s">
        <v>46</v>
      </c>
      <c r="B2" s="1">
        <f>SUM(Final_Combined_Table_After_Merge[Net Pay])</f>
        <v>1045000</v>
      </c>
    </row>
    <row r="3" spans="1:2">
      <c r="A3" s="2" t="s">
        <v>49</v>
      </c>
      <c r="B3" s="6">
        <f>MAX(Final_Combined_Table_After_Merge[Net Pay])</f>
        <v>190000</v>
      </c>
    </row>
    <row r="4" spans="1:2">
      <c r="A4" s="2" t="s">
        <v>47</v>
      </c>
      <c r="B4" s="6">
        <f>AVERAGE(Final_Combined_Table_After_Merge[Net Pay])</f>
        <v>174166.66666666666</v>
      </c>
    </row>
    <row r="5" spans="1:2">
      <c r="A5" t="s">
        <v>48</v>
      </c>
      <c r="B5" s="6">
        <f>COUNTA(Final_Combined_Table_After_Merge[Net Pay])</f>
        <v>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4DE3AC-25B3-4DE5-B71C-FBCCE2F357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Employee Info</vt:lpstr>
      <vt:lpstr>Final Combined Table After Merg</vt:lpstr>
      <vt:lpstr>Raw Employee Info</vt:lpstr>
      <vt:lpstr>Raw Payroll Data</vt:lpstr>
      <vt:lpstr>Pay_Roll Data source</vt:lpstr>
      <vt:lpstr>Input Sheet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Atanda</dc:creator>
  <cp:lastModifiedBy>Nurudeen Atanda</cp:lastModifiedBy>
  <dcterms:created xsi:type="dcterms:W3CDTF">2026-05-15T22:57:37Z</dcterms:created>
  <dcterms:modified xsi:type="dcterms:W3CDTF">2026-05-16T11:58:12Z</dcterms:modified>
</cp:coreProperties>
</file>